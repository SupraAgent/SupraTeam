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legram CRM Ratings" sheetId="1" state="visible" r:id="rId3"/>
  </sheets>
  <definedNames>
    <definedName function="false" hidden="false" localSheetId="0" name="_xlnm.Print_Area" vbProcedure="false">'Telegram CRM Ratings'!$A$1:$H$50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<sst xmlns="http://schemas.openxmlformats.org/spreadsheetml/2006/main" count="86" uniqueCount="86">
  <si>
    <t xml:space="preserve">TELEGRAM CRM COMPARISON — WEIGHTED RATING TABLE (1-100)</t>
  </si>
  <si>
    <t xml:space="preserve">#</t>
  </si>
  <si>
    <t xml:space="preserve">Feature / Function</t>
  </si>
  <si>
    <t xml:space="preserve">Wt</t>
  </si>
  <si>
    <t xml:space="preserve">CRMChat</t>
  </si>
  <si>
    <t xml:space="preserve">Entergram</t>
  </si>
  <si>
    <t xml:space="preserve">Respond.io</t>
  </si>
  <si>
    <t xml:space="preserve">NetHunt CRM</t>
  </si>
  <si>
    <t xml:space="preserve">Planfix</t>
  </si>
  <si>
    <t xml:space="preserve">Why Category Leader Scores Best</t>
  </si>
  <si>
    <t xml:space="preserve">CORE CRM FUNCTIONS</t>
  </si>
  <si>
    <t xml:space="preserve">Kanban Pipeline Management</t>
  </si>
  <si>
    <t xml:space="preserve">CRMChat (90): Pipeline built natively inside Telegram mini-app. Kanban board with drag-and-drop stages, deal cards, and inline chat context. No tab-switching -- pipeline lives where conversations happen.</t>
  </si>
  <si>
    <t xml:space="preserve">Contact/Lead Management</t>
  </si>
  <si>
    <t xml:space="preserve">Respond.io (90): Mature contact management with auto-merge across channels, lifecycle stage tracking, and deep CRM field mapping. Syncs TG messages to unified customer profiles with full interaction history.</t>
  </si>
  <si>
    <t xml:space="preserve">Deal Tracking &amp; Stages</t>
  </si>
  <si>
    <t xml:space="preserve">CRMChat (88): Deal stages update in ~30 sec from within TG. Custom stage creation, smart filters by deal size/team/product, and real-time status visible to entire team without leaving chat.</t>
  </si>
  <si>
    <t xml:space="preserve">Task Assignment &amp; Reminders</t>
  </si>
  <si>
    <t xml:space="preserve">CRMChat (85): In-deal task assignment with one-click reminders via TG bot. Daily digest pushed every morning with task summaries, overdue items, and top deals. Team members pinged directly in Telegram.</t>
  </si>
  <si>
    <t xml:space="preserve">Custom Fields &amp; Properties</t>
  </si>
  <si>
    <t xml:space="preserve">Entergram (85): Unlimited custom tags with multi-select and single-option support. Custom columns with text fields, dropdowns, checkboxes. Drag-and-drop layout builder for exact CRM schema needed.</t>
  </si>
  <si>
    <t xml:space="preserve">Duplicate Detection</t>
  </si>
  <si>
    <t xml:space="preserve">CRMChat (78): Auto duplicate detection when adding leads. Flags existing contacts before creating new entries, preventing pipeline pollution from forwarded messages or repeated QR scans.</t>
  </si>
  <si>
    <t xml:space="preserve">TELEGRAM-NATIVE FEATURES</t>
  </si>
  <si>
    <t xml:space="preserve">Native TG Integration Depth</t>
  </si>
  <si>
    <t xml:space="preserve">CRMChat (95): Purpose-built as TG-first CRM from day one. Runs as TG mini-app + web dashboard. Every feature designed around TG workflows -- folder sync, message forwarding to CRM, inline deal updates, bot commands.</t>
  </si>
  <si>
    <t xml:space="preserve">Multi-Account Management</t>
  </si>
  <si>
    <t xml:space="preserve">Entergram (95): Core differentiator. Unified dashboard showing all chats across multiple TG accounts in a single table. Instant account switching, per-account filtering, cross-account pipeline views. Essential for agencies running 5-10+ accounts.</t>
  </si>
  <si>
    <t xml:space="preserve">TG Folder Sync</t>
  </si>
  <si>
    <t xml:space="preserve">CRMChat (90): One-click sync of existing TG folders into CRM pipelines. Existing folder organization migrates instantly -- no manual re-entry. Fastest onboarding for teams already organized in TG folders.</t>
  </si>
  <si>
    <t xml:space="preserve">Personal Account Support (not just bots)</t>
  </si>
  <si>
    <t xml:space="preserve">Entergram (95): Connects directly to personal TG accounts via MTProto, not just bots. Agents use their real TG identity. No bot intermediary means natural conversation flow and access to full TG features.</t>
  </si>
  <si>
    <t xml:space="preserve">Group/Channel Monitoring</t>
  </si>
  <si>
    <t xml:space="preserve">Entergram (80): Monitors group chats and channels with role-based contact analysis. Tracks member engagement patterns, flags high-value participants, enables broadcast to group members. Useful for community-driven sales.</t>
  </si>
  <si>
    <t xml:space="preserve">Mini-App / In-TG UX</t>
  </si>
  <si>
    <t xml:space="preserve">CRMChat (92): Full CRM experience inside Telegram's mini-app framework. Deal cards, pipeline views, task management, outreach all accessible without leaving TG. Mobile-native by default since TG handles the shell.</t>
  </si>
  <si>
    <t xml:space="preserve">OUTREACH &amp; MARKETING</t>
  </si>
  <si>
    <t xml:space="preserve">Broadcast Messaging</t>
  </si>
  <si>
    <t xml:space="preserve">Entergram (88): Broadcast across multiple accounts simultaneously with personalization, scheduling, and template support. Up to 200 recipients per broadcast with variable merge. Cross-account broadcasting is unique.</t>
  </si>
  <si>
    <t xml:space="preserve">Outreach Sequence Automation</t>
  </si>
  <si>
    <t xml:space="preserve">CRMChat (88): Multi-step outreach sequences with personalization, delay controls, auto-follow-up. Campaign builder designed for TG-native cold outreach. Trusted by 300+ Web3 teams for scaled BD without account restrictions.</t>
  </si>
  <si>
    <t xml:space="preserve">Personalization / Merge Variables</t>
  </si>
  <si>
    <t xml:space="preserve">Respond.io (82): Dynamic variables across all channels including TG. Template-based personalization with contact field insertion, conditional content blocks, and A/B testing on message variants.</t>
  </si>
  <si>
    <t xml:space="preserve">QR Code Lead Capture</t>
  </si>
  <si>
    <t xml:space="preserve">CRMChat (85): Native QR code generation for lead capture directly into CRM pipeline. Scan at events/conferences and the contact drops straight into a deal card with source attribution.</t>
  </si>
  <si>
    <t xml:space="preserve">Campaign Analytics</t>
  </si>
  <si>
    <t xml:space="preserve">Respond.io (85): Full campaign analytics dashboard with delivery rates, open tracking, response rates, conversion attribution, and team performance benchmarks. Cross-channel comparison views.</t>
  </si>
  <si>
    <t xml:space="preserve">AI &amp; AUTOMATION</t>
  </si>
  <si>
    <t xml:space="preserve">AI Agent / Chatbot</t>
  </si>
  <si>
    <t xml:space="preserve">Respond.io (90): Configurable AI Agents with role templates (sales, support, receptionist). Trainable on business docs/URLs. Handles lead qualification, FAQ, booking, payment info autonomously. Voice AI in advanced tier.</t>
  </si>
  <si>
    <t xml:space="preserve">AI Lead Qualification</t>
  </si>
  <si>
    <t xml:space="preserve">Respond.io (85): AI Objectives extract structured data from natural conversation (name, email, intent) and route qualified leads to humans. Automated scoring based on response patterns and engagement signals.</t>
  </si>
  <si>
    <t xml:space="preserve">Workflow Automation Builder</t>
  </si>
  <si>
    <t xml:space="preserve">Respond.io (92): Visual Flow Builder with branching logic, conditional routing, time triggers, HTTP requests, API calls. Most mature automation engine in the group. Supports complex multi-step workflows across channels.</t>
  </si>
  <si>
    <t xml:space="preserve">Voice-to-Data / NLP</t>
  </si>
  <si>
    <t xml:space="preserve">CRMChat (80): Voice message transcription converts TG voice notes into structured CRM data. Sales reps record voice updates on the go and CRM fields update automatically. Unique mobile-first data entry.</t>
  </si>
  <si>
    <t xml:space="preserve">AI Summaries &amp; Sentiment</t>
  </si>
  <si>
    <t xml:space="preserve">Respond.io (82): AI-powered conversation summaries, sentiment detection with escalation flags, tone analysis. Managers get auto-generated interaction summaries without reading full transcripts.</t>
  </si>
  <si>
    <t xml:space="preserve">INTEGRATIONS &amp; ECOSYSTEM</t>
  </si>
  <si>
    <t xml:space="preserve">Third-Party CRM Sync (HubSpot, Pipedrive)</t>
  </si>
  <si>
    <t xml:space="preserve">Respond.io (85): Native integrations with HubSpot, Salesforce, major CRMs. Bi-directional sync of contacts, deals, conversation history. API-first architecture means custom CRM connections are straightforward.</t>
  </si>
  <si>
    <t xml:space="preserve">Zapier / API Access</t>
  </si>
  <si>
    <t xml:space="preserve">Respond.io (90): 7,000+ app connections via Zapier plus well-documented REST API. Webhooks, custom channel support, HTTP request nodes in workflows. Most extensible integration layer of the five.</t>
  </si>
  <si>
    <t xml:space="preserve">Omnichannel (WhatsApp, IG, etc.)</t>
  </si>
  <si>
    <t xml:space="preserve">Respond.io (95): True omnichannel -- WhatsApp Business API, IG DM, FB Messenger, LINE, Viber, WeChat, email, SMS, voice in one inbox. Preferred Meta/TikTok partner with early feature access.</t>
  </si>
  <si>
    <t xml:space="preserve">PRIVACY, SECURITY &amp; UX</t>
  </si>
  <si>
    <t xml:space="preserve">Privacy (No Message Storage)</t>
  </si>
  <si>
    <t xml:space="preserve">Entergram (95): Zero message storage policy. Only metadata you explicitly create is stored. MTProto encryption for transport, AES-256-GCM for metadata. Architecture designed for compliance-sensitive industries.</t>
  </si>
  <si>
    <t xml:space="preserve">GDPR / Compliance</t>
  </si>
  <si>
    <t xml:space="preserve">Entergram (90): Full GDPR compliance with data export, deletion capabilities, documented data processing agreements. Explicit security page with technical architecture. Strongest compliance posture among TG-native CRMs.</t>
  </si>
  <si>
    <t xml:space="preserve">UI/UX Quality &amp; Design</t>
  </si>
  <si>
    <t xml:space="preserve">Respond.io (85): Polished modern dashboard with clean navigation, customizable views, consistent design language. Rated 8.5/10 on UX by independent reviewers. Widget customization, branding controls, intuitive flow builder.</t>
  </si>
  <si>
    <t xml:space="preserve">Mobile Experience</t>
  </si>
  <si>
    <t xml:space="preserve">CRMChat (88): Runs natively inside TG's mobile app as mini-app, so mobile IS the primary experience. No separate app to install. Push notifications, inline actions, voice updates all through TG's mobile shell.</t>
  </si>
  <si>
    <t xml:space="preserve">Onboarding Speed / Time-to-Value</t>
  </si>
  <si>
    <t xml:space="preserve">CRMChat (90): Folder sync means existing TG users have a working pipeline in minutes. No data migration, no CSV imports, no setup wizard. Forward a message to the bot and you have a lead. Lowest friction onboarding.</t>
  </si>
  <si>
    <t xml:space="preserve">SIMPLE AVERAGE (Unweighted)</t>
  </si>
  <si>
    <t xml:space="preserve">WEIGHTED SCORE (Σ score×weight / Σ weight)</t>
  </si>
  <si>
    <t xml:space="preserve">Σ wt</t>
  </si>
  <si>
    <t xml:space="preserve">RANK (by Weighted Score)</t>
  </si>
  <si>
    <t xml:space="preserve">SCORING METHODOLOGY</t>
  </si>
  <si>
    <t xml:space="preserve">Scores: 1-100 scale. 90+ = Best-in-class. 70-89 = Strong. 50-69 = Adequate. &lt;50 = Weak/Missing.</t>
  </si>
  <si>
    <t xml:space="preserve">Weights: 1-5 (5 = critical for Telegram-first CRM use case). Weighted score = Σ(score × weight) / Σ(weight).</t>
  </si>
  <si>
    <t xml:space="preserve">Green cells ≥80 | Yellow cells 60-79 | Red cells &lt;60.</t>
  </si>
  <si>
    <t xml:space="preserve">Ratings based on publicly available feature documentation, reviews, and product pages as of March 2026.</t>
  </si>
  <si>
    <t xml:space="preserve">Telegram-native features weighted heavily given the evaluation context (Telegram-first BD/sales workflow).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</si>
</sst>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1"/>
      <color rgb="FF4A0080"/>
      <name val="Arial"/>
      <family val="0"/>
      <charset val="1"/>
    </font>
    <font>
      <b val="true"/>
      <sz val="9"/>
      <color rgb="FF4A0080"/>
      <name val="Arial"/>
      <family val="0"/>
      <charset val="1"/>
    </font>
    <font>
      <b val="true"/>
      <sz val="12"/>
      <color rgb="FF4A008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2D4A7A"/>
        <bgColor rgb="FF333333"/>
      </patternFill>
    </fill>
    <fill>
      <patternFill patternType="solid">
        <fgColor rgb="FFFFFFFF"/>
        <bgColor rgb="FFF2F6FC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C7CE"/>
      </patternFill>
    </fill>
    <fill>
      <patternFill patternType="solid">
        <fgColor rgb="FFF2F6FC"/>
        <bgColor rgb="FFFFFFFF"/>
      </patternFill>
    </fill>
    <fill>
      <patternFill patternType="solid">
        <fgColor rgb="FFFFC7CE"/>
        <bgColor rgb="FFE8D5F5"/>
      </patternFill>
    </fill>
    <fill>
      <patternFill patternType="solid">
        <fgColor rgb="FFE8D5F5"/>
        <bgColor rgb="FFD0D0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D5F5"/>
      <rgbColor rgb="FF808080"/>
      <rgbColor rgb="FF9999FF"/>
      <rgbColor rgb="FF993366"/>
      <rgbColor rgb="FFF2F6FC"/>
      <rgbColor rgb="FFCCFFFF"/>
      <rgbColor rgb="FF4A0080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2A4A"/>
      <rgbColor rgb="FF339966"/>
      <rgbColor rgb="FF003300"/>
      <rgbColor rgb="FF333300"/>
      <rgbColor rgb="FF993300"/>
      <rgbColor rgb="FF993366"/>
      <rgbColor rgb="FF2D4A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3" min="3" style="1" width="8"/>
    <col collapsed="false" customWidth="true" hidden="false" outlineLevel="0" max="8" min="4" style="1" width="12"/>
    <col collapsed="false" customWidth="true" hidden="false" outlineLevel="0" max="9" min="9" style="0" width="65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</row>
    <row r="3" customFormat="false" ht="27.75" hidden="false" customHeight="true" outlineLevel="0" collapsed="false">
      <c r="A3" s="5" t="s">
        <v>10</v>
      </c>
      <c r="B3" s="5"/>
      <c r="C3" s="5"/>
      <c r="D3" s="5"/>
      <c r="E3" s="5"/>
      <c r="F3" s="5"/>
      <c r="G3" s="5"/>
      <c r="H3" s="5"/>
      <c r="I3" s="6"/>
    </row>
    <row r="4" customFormat="false" ht="51.75" hidden="false" customHeight="true" outlineLevel="0" collapsed="false">
      <c r="A4" s="7" t="n">
        <v>1</v>
      </c>
      <c r="B4" s="8" t="s">
        <v>11</v>
      </c>
      <c r="C4" s="9" t="n">
        <v>5</v>
      </c>
      <c r="D4" s="10" t="n">
        <v>90</v>
      </c>
      <c r="E4" s="11" t="n">
        <v>75</v>
      </c>
      <c r="F4" s="10" t="n">
        <v>80</v>
      </c>
      <c r="G4" s="10" t="n">
        <v>85</v>
      </c>
      <c r="H4" s="11" t="n">
        <v>70</v>
      </c>
      <c r="I4" s="12" t="s">
        <v>12</v>
      </c>
    </row>
    <row r="5" customFormat="false" ht="51.75" hidden="false" customHeight="true" outlineLevel="0" collapsed="false">
      <c r="A5" s="13" t="n">
        <v>2</v>
      </c>
      <c r="B5" s="14" t="s">
        <v>13</v>
      </c>
      <c r="C5" s="15" t="n">
        <v>5</v>
      </c>
      <c r="D5" s="10" t="n">
        <v>80</v>
      </c>
      <c r="E5" s="11" t="n">
        <v>78</v>
      </c>
      <c r="F5" s="10" t="n">
        <v>90</v>
      </c>
      <c r="G5" s="10" t="n">
        <v>88</v>
      </c>
      <c r="H5" s="11" t="n">
        <v>75</v>
      </c>
      <c r="I5" s="16" t="s">
        <v>14</v>
      </c>
    </row>
    <row r="6" customFormat="false" ht="51.75" hidden="false" customHeight="true" outlineLevel="0" collapsed="false">
      <c r="A6" s="7" t="n">
        <v>3</v>
      </c>
      <c r="B6" s="8" t="s">
        <v>15</v>
      </c>
      <c r="C6" s="9" t="n">
        <v>4</v>
      </c>
      <c r="D6" s="10" t="n">
        <v>88</v>
      </c>
      <c r="E6" s="11" t="n">
        <v>72</v>
      </c>
      <c r="F6" s="10" t="n">
        <v>82</v>
      </c>
      <c r="G6" s="10" t="n">
        <v>80</v>
      </c>
      <c r="H6" s="11" t="n">
        <v>68</v>
      </c>
      <c r="I6" s="12" t="s">
        <v>16</v>
      </c>
    </row>
    <row r="7" customFormat="false" ht="51.75" hidden="false" customHeight="true" outlineLevel="0" collapsed="false">
      <c r="A7" s="13" t="n">
        <v>4</v>
      </c>
      <c r="B7" s="14" t="s">
        <v>17</v>
      </c>
      <c r="C7" s="15" t="n">
        <v>4</v>
      </c>
      <c r="D7" s="10" t="n">
        <v>85</v>
      </c>
      <c r="E7" s="11" t="n">
        <v>65</v>
      </c>
      <c r="F7" s="11" t="n">
        <v>78</v>
      </c>
      <c r="G7" s="11" t="n">
        <v>72</v>
      </c>
      <c r="H7" s="10" t="n">
        <v>82</v>
      </c>
      <c r="I7" s="16" t="s">
        <v>18</v>
      </c>
    </row>
    <row r="8" customFormat="false" ht="51.75" hidden="false" customHeight="true" outlineLevel="0" collapsed="false">
      <c r="A8" s="7" t="n">
        <v>5</v>
      </c>
      <c r="B8" s="8" t="s">
        <v>19</v>
      </c>
      <c r="C8" s="9" t="n">
        <v>3</v>
      </c>
      <c r="D8" s="11" t="n">
        <v>75</v>
      </c>
      <c r="E8" s="10" t="n">
        <v>85</v>
      </c>
      <c r="F8" s="10" t="n">
        <v>80</v>
      </c>
      <c r="G8" s="11" t="n">
        <v>78</v>
      </c>
      <c r="H8" s="11" t="n">
        <v>72</v>
      </c>
      <c r="I8" s="12" t="s">
        <v>20</v>
      </c>
    </row>
    <row r="9" customFormat="false" ht="51.75" hidden="false" customHeight="true" outlineLevel="0" collapsed="false">
      <c r="A9" s="13" t="n">
        <v>6</v>
      </c>
      <c r="B9" s="14" t="s">
        <v>21</v>
      </c>
      <c r="C9" s="15" t="n">
        <v>2</v>
      </c>
      <c r="D9" s="11" t="n">
        <v>78</v>
      </c>
      <c r="E9" s="11" t="n">
        <v>60</v>
      </c>
      <c r="F9" s="11" t="n">
        <v>70</v>
      </c>
      <c r="G9" s="11" t="n">
        <v>75</v>
      </c>
      <c r="H9" s="17" t="n">
        <v>55</v>
      </c>
      <c r="I9" s="16" t="s">
        <v>22</v>
      </c>
    </row>
    <row r="10" customFormat="false" ht="27.75" hidden="false" customHeight="true" outlineLevel="0" collapsed="false">
      <c r="A10" s="5" t="s">
        <v>23</v>
      </c>
      <c r="B10" s="5"/>
      <c r="C10" s="5"/>
      <c r="D10" s="5"/>
      <c r="E10" s="5"/>
      <c r="F10" s="5"/>
      <c r="G10" s="5"/>
      <c r="H10" s="5"/>
      <c r="I10" s="6"/>
    </row>
    <row r="11" customFormat="false" ht="51.75" hidden="false" customHeight="true" outlineLevel="0" collapsed="false">
      <c r="A11" s="7" t="n">
        <v>7</v>
      </c>
      <c r="B11" s="8" t="s">
        <v>24</v>
      </c>
      <c r="C11" s="9" t="n">
        <v>5</v>
      </c>
      <c r="D11" s="10" t="n">
        <v>95</v>
      </c>
      <c r="E11" s="10" t="n">
        <v>92</v>
      </c>
      <c r="F11" s="11" t="n">
        <v>65</v>
      </c>
      <c r="G11" s="11" t="n">
        <v>60</v>
      </c>
      <c r="H11" s="11" t="n">
        <v>75</v>
      </c>
      <c r="I11" s="12" t="s">
        <v>25</v>
      </c>
    </row>
    <row r="12" customFormat="false" ht="51.75" hidden="false" customHeight="true" outlineLevel="0" collapsed="false">
      <c r="A12" s="13" t="n">
        <v>8</v>
      </c>
      <c r="B12" s="14" t="s">
        <v>26</v>
      </c>
      <c r="C12" s="15" t="n">
        <v>5</v>
      </c>
      <c r="D12" s="10" t="n">
        <v>80</v>
      </c>
      <c r="E12" s="10" t="n">
        <v>95</v>
      </c>
      <c r="F12" s="17" t="n">
        <v>55</v>
      </c>
      <c r="G12" s="17" t="n">
        <v>40</v>
      </c>
      <c r="H12" s="17" t="n">
        <v>45</v>
      </c>
      <c r="I12" s="16" t="s">
        <v>27</v>
      </c>
    </row>
    <row r="13" customFormat="false" ht="51.75" hidden="false" customHeight="true" outlineLevel="0" collapsed="false">
      <c r="A13" s="7" t="n">
        <v>9</v>
      </c>
      <c r="B13" s="8" t="s">
        <v>28</v>
      </c>
      <c r="C13" s="9" t="n">
        <v>4</v>
      </c>
      <c r="D13" s="10" t="n">
        <v>90</v>
      </c>
      <c r="E13" s="11" t="n">
        <v>70</v>
      </c>
      <c r="F13" s="17" t="n">
        <v>30</v>
      </c>
      <c r="G13" s="17" t="n">
        <v>25</v>
      </c>
      <c r="H13" s="17" t="n">
        <v>40</v>
      </c>
      <c r="I13" s="12" t="s">
        <v>29</v>
      </c>
    </row>
    <row r="14" customFormat="false" ht="51.75" hidden="false" customHeight="true" outlineLevel="0" collapsed="false">
      <c r="A14" s="13" t="n">
        <v>10</v>
      </c>
      <c r="B14" s="14" t="s">
        <v>30</v>
      </c>
      <c r="C14" s="15" t="n">
        <v>4</v>
      </c>
      <c r="D14" s="10" t="n">
        <v>85</v>
      </c>
      <c r="E14" s="10" t="n">
        <v>95</v>
      </c>
      <c r="F14" s="17" t="n">
        <v>30</v>
      </c>
      <c r="G14" s="17" t="n">
        <v>35</v>
      </c>
      <c r="H14" s="17" t="n">
        <v>50</v>
      </c>
      <c r="I14" s="16" t="s">
        <v>31</v>
      </c>
    </row>
    <row r="15" customFormat="false" ht="51.75" hidden="false" customHeight="true" outlineLevel="0" collapsed="false">
      <c r="A15" s="7" t="n">
        <v>11</v>
      </c>
      <c r="B15" s="8" t="s">
        <v>32</v>
      </c>
      <c r="C15" s="9" t="n">
        <v>3</v>
      </c>
      <c r="D15" s="11" t="n">
        <v>75</v>
      </c>
      <c r="E15" s="10" t="n">
        <v>80</v>
      </c>
      <c r="F15" s="17" t="n">
        <v>45</v>
      </c>
      <c r="G15" s="17" t="n">
        <v>35</v>
      </c>
      <c r="H15" s="11" t="n">
        <v>70</v>
      </c>
      <c r="I15" s="12" t="s">
        <v>33</v>
      </c>
    </row>
    <row r="16" customFormat="false" ht="51.75" hidden="false" customHeight="true" outlineLevel="0" collapsed="false">
      <c r="A16" s="13" t="n">
        <v>12</v>
      </c>
      <c r="B16" s="14" t="s">
        <v>34</v>
      </c>
      <c r="C16" s="15" t="n">
        <v>4</v>
      </c>
      <c r="D16" s="10" t="n">
        <v>92</v>
      </c>
      <c r="E16" s="11" t="n">
        <v>65</v>
      </c>
      <c r="F16" s="17" t="n">
        <v>35</v>
      </c>
      <c r="G16" s="17" t="n">
        <v>25</v>
      </c>
      <c r="H16" s="17" t="n">
        <v>30</v>
      </c>
      <c r="I16" s="16" t="s">
        <v>35</v>
      </c>
    </row>
    <row r="17" customFormat="false" ht="27.75" hidden="false" customHeight="true" outlineLevel="0" collapsed="false">
      <c r="A17" s="5" t="s">
        <v>36</v>
      </c>
      <c r="B17" s="5"/>
      <c r="C17" s="5"/>
      <c r="D17" s="5"/>
      <c r="E17" s="5"/>
      <c r="F17" s="5"/>
      <c r="G17" s="5"/>
      <c r="H17" s="5"/>
      <c r="I17" s="6"/>
    </row>
    <row r="18" customFormat="false" ht="51.75" hidden="false" customHeight="true" outlineLevel="0" collapsed="false">
      <c r="A18" s="7" t="n">
        <v>13</v>
      </c>
      <c r="B18" s="8" t="s">
        <v>37</v>
      </c>
      <c r="C18" s="9" t="n">
        <v>4</v>
      </c>
      <c r="D18" s="10" t="n">
        <v>82</v>
      </c>
      <c r="E18" s="10" t="n">
        <v>88</v>
      </c>
      <c r="F18" s="10" t="n">
        <v>85</v>
      </c>
      <c r="G18" s="11" t="n">
        <v>65</v>
      </c>
      <c r="H18" s="17" t="n">
        <v>55</v>
      </c>
      <c r="I18" s="12" t="s">
        <v>38</v>
      </c>
    </row>
    <row r="19" customFormat="false" ht="51.75" hidden="false" customHeight="true" outlineLevel="0" collapsed="false">
      <c r="A19" s="13" t="n">
        <v>14</v>
      </c>
      <c r="B19" s="14" t="s">
        <v>39</v>
      </c>
      <c r="C19" s="15" t="n">
        <v>4</v>
      </c>
      <c r="D19" s="10" t="n">
        <v>88</v>
      </c>
      <c r="E19" s="11" t="n">
        <v>60</v>
      </c>
      <c r="F19" s="11" t="n">
        <v>75</v>
      </c>
      <c r="G19" s="17" t="n">
        <v>55</v>
      </c>
      <c r="H19" s="17" t="n">
        <v>40</v>
      </c>
      <c r="I19" s="16" t="s">
        <v>40</v>
      </c>
    </row>
    <row r="20" customFormat="false" ht="51.75" hidden="false" customHeight="true" outlineLevel="0" collapsed="false">
      <c r="A20" s="7" t="n">
        <v>15</v>
      </c>
      <c r="B20" s="8" t="s">
        <v>41</v>
      </c>
      <c r="C20" s="9" t="n">
        <v>3</v>
      </c>
      <c r="D20" s="10" t="n">
        <v>80</v>
      </c>
      <c r="E20" s="11" t="n">
        <v>78</v>
      </c>
      <c r="F20" s="10" t="n">
        <v>82</v>
      </c>
      <c r="G20" s="11" t="n">
        <v>60</v>
      </c>
      <c r="H20" s="17" t="n">
        <v>45</v>
      </c>
      <c r="I20" s="12" t="s">
        <v>42</v>
      </c>
    </row>
    <row r="21" customFormat="false" ht="51.75" hidden="false" customHeight="true" outlineLevel="0" collapsed="false">
      <c r="A21" s="13" t="n">
        <v>16</v>
      </c>
      <c r="B21" s="14" t="s">
        <v>43</v>
      </c>
      <c r="C21" s="15" t="n">
        <v>2</v>
      </c>
      <c r="D21" s="10" t="n">
        <v>85</v>
      </c>
      <c r="E21" s="17" t="n">
        <v>55</v>
      </c>
      <c r="F21" s="11" t="n">
        <v>70</v>
      </c>
      <c r="G21" s="17" t="n">
        <v>40</v>
      </c>
      <c r="H21" s="17" t="n">
        <v>30</v>
      </c>
      <c r="I21" s="16" t="s">
        <v>44</v>
      </c>
    </row>
    <row r="22" customFormat="false" ht="51.75" hidden="false" customHeight="true" outlineLevel="0" collapsed="false">
      <c r="A22" s="7" t="n">
        <v>17</v>
      </c>
      <c r="B22" s="8" t="s">
        <v>45</v>
      </c>
      <c r="C22" s="9" t="n">
        <v>3</v>
      </c>
      <c r="D22" s="11" t="n">
        <v>70</v>
      </c>
      <c r="E22" s="11" t="n">
        <v>65</v>
      </c>
      <c r="F22" s="10" t="n">
        <v>85</v>
      </c>
      <c r="G22" s="11" t="n">
        <v>60</v>
      </c>
      <c r="H22" s="17" t="n">
        <v>50</v>
      </c>
      <c r="I22" s="12" t="s">
        <v>46</v>
      </c>
    </row>
    <row r="23" customFormat="false" ht="27.75" hidden="false" customHeight="true" outlineLevel="0" collapsed="false">
      <c r="A23" s="5" t="s">
        <v>47</v>
      </c>
      <c r="B23" s="5"/>
      <c r="C23" s="5"/>
      <c r="D23" s="5"/>
      <c r="E23" s="5"/>
      <c r="F23" s="5"/>
      <c r="G23" s="5"/>
      <c r="H23" s="5"/>
      <c r="I23" s="6"/>
    </row>
    <row r="24" customFormat="false" ht="51.75" hidden="false" customHeight="true" outlineLevel="0" collapsed="false">
      <c r="A24" s="13" t="n">
        <v>18</v>
      </c>
      <c r="B24" s="14" t="s">
        <v>48</v>
      </c>
      <c r="C24" s="15" t="n">
        <v>4</v>
      </c>
      <c r="D24" s="11" t="n">
        <v>78</v>
      </c>
      <c r="E24" s="17" t="n">
        <v>40</v>
      </c>
      <c r="F24" s="10" t="n">
        <v>90</v>
      </c>
      <c r="G24" s="17" t="n">
        <v>55</v>
      </c>
      <c r="H24" s="17" t="n">
        <v>45</v>
      </c>
      <c r="I24" s="16" t="s">
        <v>49</v>
      </c>
    </row>
    <row r="25" customFormat="false" ht="51.75" hidden="false" customHeight="true" outlineLevel="0" collapsed="false">
      <c r="A25" s="7" t="n">
        <v>19</v>
      </c>
      <c r="B25" s="8" t="s">
        <v>50</v>
      </c>
      <c r="C25" s="9" t="n">
        <v>3</v>
      </c>
      <c r="D25" s="11" t="n">
        <v>75</v>
      </c>
      <c r="E25" s="17" t="n">
        <v>35</v>
      </c>
      <c r="F25" s="10" t="n">
        <v>85</v>
      </c>
      <c r="G25" s="17" t="n">
        <v>50</v>
      </c>
      <c r="H25" s="17" t="n">
        <v>35</v>
      </c>
      <c r="I25" s="12" t="s">
        <v>51</v>
      </c>
    </row>
    <row r="26" customFormat="false" ht="51.75" hidden="false" customHeight="true" outlineLevel="0" collapsed="false">
      <c r="A26" s="13" t="n">
        <v>20</v>
      </c>
      <c r="B26" s="14" t="s">
        <v>52</v>
      </c>
      <c r="C26" s="15" t="n">
        <v>4</v>
      </c>
      <c r="D26" s="11" t="n">
        <v>60</v>
      </c>
      <c r="E26" s="17" t="n">
        <v>50</v>
      </c>
      <c r="F26" s="10" t="n">
        <v>92</v>
      </c>
      <c r="G26" s="11" t="n">
        <v>70</v>
      </c>
      <c r="H26" s="10" t="n">
        <v>80</v>
      </c>
      <c r="I26" s="16" t="s">
        <v>53</v>
      </c>
    </row>
    <row r="27" customFormat="false" ht="51.75" hidden="false" customHeight="true" outlineLevel="0" collapsed="false">
      <c r="A27" s="7" t="n">
        <v>21</v>
      </c>
      <c r="B27" s="8" t="s">
        <v>54</v>
      </c>
      <c r="C27" s="9" t="n">
        <v>2</v>
      </c>
      <c r="D27" s="10" t="n">
        <v>80</v>
      </c>
      <c r="E27" s="17" t="n">
        <v>30</v>
      </c>
      <c r="F27" s="11" t="n">
        <v>75</v>
      </c>
      <c r="G27" s="17" t="n">
        <v>25</v>
      </c>
      <c r="H27" s="17" t="n">
        <v>20</v>
      </c>
      <c r="I27" s="12" t="s">
        <v>55</v>
      </c>
    </row>
    <row r="28" customFormat="false" ht="51.75" hidden="false" customHeight="true" outlineLevel="0" collapsed="false">
      <c r="A28" s="13" t="n">
        <v>22</v>
      </c>
      <c r="B28" s="14" t="s">
        <v>56</v>
      </c>
      <c r="C28" s="15" t="n">
        <v>3</v>
      </c>
      <c r="D28" s="11" t="n">
        <v>65</v>
      </c>
      <c r="E28" s="17" t="n">
        <v>35</v>
      </c>
      <c r="F28" s="10" t="n">
        <v>82</v>
      </c>
      <c r="G28" s="17" t="n">
        <v>45</v>
      </c>
      <c r="H28" s="17" t="n">
        <v>30</v>
      </c>
      <c r="I28" s="16" t="s">
        <v>57</v>
      </c>
    </row>
    <row r="29" customFormat="false" ht="27.75" hidden="false" customHeight="true" outlineLevel="0" collapsed="false">
      <c r="A29" s="5" t="s">
        <v>58</v>
      </c>
      <c r="B29" s="5"/>
      <c r="C29" s="5"/>
      <c r="D29" s="5"/>
      <c r="E29" s="5"/>
      <c r="F29" s="5"/>
      <c r="G29" s="5"/>
      <c r="H29" s="5"/>
      <c r="I29" s="6"/>
    </row>
    <row r="30" customFormat="false" ht="51.75" hidden="false" customHeight="true" outlineLevel="0" collapsed="false">
      <c r="A30" s="7" t="n">
        <v>23</v>
      </c>
      <c r="B30" s="8" t="s">
        <v>59</v>
      </c>
      <c r="C30" s="9" t="n">
        <v>3</v>
      </c>
      <c r="D30" s="10" t="n">
        <v>82</v>
      </c>
      <c r="E30" s="17" t="n">
        <v>40</v>
      </c>
      <c r="F30" s="10" t="n">
        <v>85</v>
      </c>
      <c r="G30" s="17" t="n">
        <v>55</v>
      </c>
      <c r="H30" s="11" t="n">
        <v>60</v>
      </c>
      <c r="I30" s="12" t="s">
        <v>60</v>
      </c>
    </row>
    <row r="31" customFormat="false" ht="51.75" hidden="false" customHeight="true" outlineLevel="0" collapsed="false">
      <c r="A31" s="13" t="n">
        <v>24</v>
      </c>
      <c r="B31" s="14" t="s">
        <v>61</v>
      </c>
      <c r="C31" s="15" t="n">
        <v>3</v>
      </c>
      <c r="D31" s="10" t="n">
        <v>85</v>
      </c>
      <c r="E31" s="17" t="n">
        <v>50</v>
      </c>
      <c r="F31" s="10" t="n">
        <v>90</v>
      </c>
      <c r="G31" s="11" t="n">
        <v>70</v>
      </c>
      <c r="H31" s="11" t="n">
        <v>65</v>
      </c>
      <c r="I31" s="16" t="s">
        <v>62</v>
      </c>
    </row>
    <row r="32" customFormat="false" ht="51.75" hidden="false" customHeight="true" outlineLevel="0" collapsed="false">
      <c r="A32" s="7" t="n">
        <v>25</v>
      </c>
      <c r="B32" s="8" t="s">
        <v>63</v>
      </c>
      <c r="C32" s="9" t="n">
        <v>2</v>
      </c>
      <c r="D32" s="17" t="n">
        <v>30</v>
      </c>
      <c r="E32" s="17" t="n">
        <v>25</v>
      </c>
      <c r="F32" s="10" t="n">
        <v>95</v>
      </c>
      <c r="G32" s="11" t="n">
        <v>75</v>
      </c>
      <c r="H32" s="17" t="n">
        <v>55</v>
      </c>
      <c r="I32" s="12" t="s">
        <v>64</v>
      </c>
    </row>
    <row r="33" customFormat="false" ht="27.75" hidden="false" customHeight="true" outlineLevel="0" collapsed="false">
      <c r="A33" s="5" t="s">
        <v>65</v>
      </c>
      <c r="B33" s="5"/>
      <c r="C33" s="5"/>
      <c r="D33" s="5"/>
      <c r="E33" s="5"/>
      <c r="F33" s="5"/>
      <c r="G33" s="5"/>
      <c r="H33" s="5"/>
      <c r="I33" s="6"/>
    </row>
    <row r="34" customFormat="false" ht="51.75" hidden="false" customHeight="true" outlineLevel="0" collapsed="false">
      <c r="A34" s="13" t="n">
        <v>26</v>
      </c>
      <c r="B34" s="14" t="s">
        <v>66</v>
      </c>
      <c r="C34" s="15" t="n">
        <v>3</v>
      </c>
      <c r="D34" s="11" t="n">
        <v>70</v>
      </c>
      <c r="E34" s="10" t="n">
        <v>95</v>
      </c>
      <c r="F34" s="17" t="n">
        <v>45</v>
      </c>
      <c r="G34" s="17" t="n">
        <v>55</v>
      </c>
      <c r="H34" s="11" t="n">
        <v>60</v>
      </c>
      <c r="I34" s="16" t="s">
        <v>67</v>
      </c>
    </row>
    <row r="35" customFormat="false" ht="51.75" hidden="false" customHeight="true" outlineLevel="0" collapsed="false">
      <c r="A35" s="7" t="n">
        <v>27</v>
      </c>
      <c r="B35" s="8" t="s">
        <v>68</v>
      </c>
      <c r="C35" s="9" t="n">
        <v>2</v>
      </c>
      <c r="D35" s="11" t="n">
        <v>65</v>
      </c>
      <c r="E35" s="10" t="n">
        <v>90</v>
      </c>
      <c r="F35" s="10" t="n">
        <v>80</v>
      </c>
      <c r="G35" s="11" t="n">
        <v>70</v>
      </c>
      <c r="H35" s="17" t="n">
        <v>55</v>
      </c>
      <c r="I35" s="12" t="s">
        <v>69</v>
      </c>
    </row>
    <row r="36" customFormat="false" ht="51.75" hidden="false" customHeight="true" outlineLevel="0" collapsed="false">
      <c r="A36" s="13" t="n">
        <v>28</v>
      </c>
      <c r="B36" s="14" t="s">
        <v>70</v>
      </c>
      <c r="C36" s="15" t="n">
        <v>4</v>
      </c>
      <c r="D36" s="10" t="n">
        <v>82</v>
      </c>
      <c r="E36" s="11" t="n">
        <v>75</v>
      </c>
      <c r="F36" s="10" t="n">
        <v>85</v>
      </c>
      <c r="G36" s="11" t="n">
        <v>72</v>
      </c>
      <c r="H36" s="11" t="n">
        <v>60</v>
      </c>
      <c r="I36" s="16" t="s">
        <v>71</v>
      </c>
    </row>
    <row r="37" customFormat="false" ht="51.75" hidden="false" customHeight="true" outlineLevel="0" collapsed="false">
      <c r="A37" s="7" t="n">
        <v>29</v>
      </c>
      <c r="B37" s="8" t="s">
        <v>72</v>
      </c>
      <c r="C37" s="9" t="n">
        <v>3</v>
      </c>
      <c r="D37" s="10" t="n">
        <v>88</v>
      </c>
      <c r="E37" s="11" t="n">
        <v>70</v>
      </c>
      <c r="F37" s="10" t="n">
        <v>80</v>
      </c>
      <c r="G37" s="11" t="n">
        <v>65</v>
      </c>
      <c r="H37" s="17" t="n">
        <v>50</v>
      </c>
      <c r="I37" s="12" t="s">
        <v>73</v>
      </c>
    </row>
    <row r="38" customFormat="false" ht="51.75" hidden="false" customHeight="true" outlineLevel="0" collapsed="false">
      <c r="A38" s="13" t="n">
        <v>30</v>
      </c>
      <c r="B38" s="14" t="s">
        <v>74</v>
      </c>
      <c r="C38" s="15" t="n">
        <v>3</v>
      </c>
      <c r="D38" s="10" t="n">
        <v>90</v>
      </c>
      <c r="E38" s="10" t="n">
        <v>80</v>
      </c>
      <c r="F38" s="11" t="n">
        <v>60</v>
      </c>
      <c r="G38" s="11" t="n">
        <v>65</v>
      </c>
      <c r="H38" s="17" t="n">
        <v>55</v>
      </c>
      <c r="I38" s="16" t="s">
        <v>75</v>
      </c>
    </row>
    <row r="40" customFormat="false" ht="34.5" hidden="false" customHeight="true" outlineLevel="0" collapsed="false">
      <c r="A40" s="18" t="s">
        <v>76</v>
      </c>
      <c r="B40" s="18"/>
      <c r="C40" s="19"/>
      <c r="D40" s="20" t="n">
        <f aca="false">ROUND(AVERAGE(D4:D38),1)</f>
        <v>78.9</v>
      </c>
      <c r="E40" s="20" t="n">
        <f aca="false">ROUND(AVERAGE(E4:E38),1)</f>
        <v>66.4</v>
      </c>
      <c r="F40" s="20" t="n">
        <f aca="false">ROUND(AVERAGE(F4:F38),1)</f>
        <v>72.7</v>
      </c>
      <c r="G40" s="20" t="n">
        <f aca="false">ROUND(AVERAGE(G4:G38),1)</f>
        <v>58.3</v>
      </c>
      <c r="H40" s="20" t="n">
        <f aca="false">ROUND(AVERAGE(H4:H38),1)</f>
        <v>54.1</v>
      </c>
      <c r="I40" s="21"/>
    </row>
    <row r="41" customFormat="false" ht="34.5" hidden="false" customHeight="true" outlineLevel="0" collapsed="false">
      <c r="A41" s="22" t="s">
        <v>77</v>
      </c>
      <c r="B41" s="22"/>
      <c r="C41" s="23" t="s">
        <v>78</v>
      </c>
      <c r="D41" s="24" t="n">
        <f aca="false">ROUND(SUMPRODUCT(C4:C38,D4:D38)/SUM(C4:C38),1)</f>
        <v>80.4</v>
      </c>
      <c r="E41" s="24" t="n">
        <f aca="false">ROUND(SUMPRODUCT(C4:C38,E4:E38)/SUM(C4:C38),1)</f>
        <v>68.7</v>
      </c>
      <c r="F41" s="24" t="n">
        <f aca="false">ROUND(SUMPRODUCT(C4:C38,F4:F38)/SUM(C4:C38),1)</f>
        <v>72</v>
      </c>
      <c r="G41" s="24" t="n">
        <f aca="false">ROUND(SUMPRODUCT(C4:C38,G4:G38)/SUM(C4:C38),1)</f>
        <v>58.9</v>
      </c>
      <c r="H41" s="24" t="n">
        <f aca="false">ROUND(SUMPRODUCT(C4:C38,H4:H38)/SUM(C4:C38),1)</f>
        <v>55.6</v>
      </c>
      <c r="I41" s="25"/>
    </row>
    <row r="42" customFormat="false" ht="34.5" hidden="false" customHeight="true" outlineLevel="0" collapsed="false">
      <c r="A42" s="18" t="s">
        <v>79</v>
      </c>
      <c r="B42" s="18"/>
      <c r="C42" s="19"/>
      <c r="D42" s="26" t="n">
        <f aca="false">RANK(D41,D41:H41,0)</f>
        <v>1</v>
      </c>
      <c r="E42" s="26" t="n">
        <f aca="false">RANK(E41,D41:H41,0)</f>
        <v>3</v>
      </c>
      <c r="F42" s="26" t="n">
        <f aca="false">RANK(F41,D41:H41,0)</f>
        <v>2</v>
      </c>
      <c r="G42" s="26" t="n">
        <f aca="false">RANK(G41,D41:H41,0)</f>
        <v>4</v>
      </c>
      <c r="H42" s="26" t="n">
        <f aca="false">RANK(H41,D41:H41,0)</f>
        <v>5</v>
      </c>
      <c r="I42" s="21"/>
    </row>
    <row r="44" customFormat="false" ht="15" hidden="false" customHeight="true" outlineLevel="0" collapsed="false">
      <c r="A44" s="27" t="s">
        <v>80</v>
      </c>
      <c r="B44" s="27"/>
      <c r="C44" s="27"/>
      <c r="D44" s="27"/>
      <c r="E44" s="27"/>
      <c r="F44" s="27"/>
      <c r="G44" s="27"/>
      <c r="H44" s="27"/>
      <c r="I44" s="27"/>
    </row>
    <row r="45" customFormat="false" ht="15" hidden="false" customHeight="true" outlineLevel="0" collapsed="false">
      <c r="A45" s="28" t="s">
        <v>81</v>
      </c>
      <c r="B45" s="28"/>
      <c r="C45" s="28"/>
      <c r="D45" s="28"/>
      <c r="E45" s="28"/>
      <c r="F45" s="28"/>
      <c r="G45" s="28"/>
      <c r="H45" s="28"/>
      <c r="I45" s="28"/>
    </row>
    <row r="46" customFormat="false" ht="15" hidden="false" customHeight="true" outlineLevel="0" collapsed="false">
      <c r="A46" s="28" t="s">
        <v>82</v>
      </c>
      <c r="B46" s="28"/>
      <c r="C46" s="28"/>
      <c r="D46" s="28"/>
      <c r="E46" s="28"/>
      <c r="F46" s="28"/>
      <c r="G46" s="28"/>
      <c r="H46" s="28"/>
      <c r="I46" s="28"/>
    </row>
    <row r="47" customFormat="false" ht="15" hidden="false" customHeight="true" outlineLevel="0" collapsed="false">
      <c r="A47" s="28" t="s">
        <v>83</v>
      </c>
      <c r="B47" s="28"/>
      <c r="C47" s="28"/>
      <c r="D47" s="28"/>
      <c r="E47" s="28"/>
      <c r="F47" s="28"/>
      <c r="G47" s="28"/>
      <c r="H47" s="28"/>
      <c r="I47" s="28"/>
    </row>
    <row r="48" customFormat="false" ht="15" hidden="false" customHeight="true" outlineLevel="0" collapsed="false">
      <c r="A48" s="28" t="s">
        <v>84</v>
      </c>
      <c r="B48" s="28"/>
      <c r="C48" s="28"/>
      <c r="D48" s="28"/>
      <c r="E48" s="28"/>
      <c r="F48" s="28"/>
      <c r="G48" s="28"/>
      <c r="H48" s="28"/>
      <c r="I48" s="28"/>
    </row>
    <row r="49" customFormat="false" ht="15" hidden="false" customHeight="true" outlineLevel="0" collapsed="false">
      <c r="A49" s="28" t="s">
        <v>85</v>
      </c>
      <c r="B49" s="28"/>
      <c r="C49" s="28"/>
      <c r="D49" s="28"/>
      <c r="E49" s="28"/>
      <c r="F49" s="28"/>
      <c r="G49" s="28"/>
      <c r="H49" s="28"/>
      <c r="I49" s="28"/>
    </row>
  </sheetData>
  <mergeCells count="16">
    <mergeCell ref="A1:I1"/>
    <mergeCell ref="A3:H3"/>
    <mergeCell ref="A10:H10"/>
    <mergeCell ref="A17:H17"/>
    <mergeCell ref="A23:H23"/>
    <mergeCell ref="A29:H29"/>
    <mergeCell ref="A33:H33"/>
    <mergeCell ref="A40:B40"/>
    <mergeCell ref="A41:B41"/>
    <mergeCell ref="A42:B42"/>
    <mergeCell ref="A44:I44"/>
    <mergeCell ref="A45:I45"/>
    <mergeCell ref="A46:I46"/>
    <mergeCell ref="A47:I47"/>
    <mergeCell ref="A48:I48"/>
    <mergeCell ref="A49:I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2026-03-20T05:59:27Z</dcterms:created>
  <dc:creator>openpyxl</dc:creator>
  <dc:description/>
  <dc:language>en-US</dc:language>
  <cp:lastModifiedBy/>
  <dcterms:modified xsi:type="dcterms:W3CDTF">2026-03-20T06:20:27Z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